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<sst xmlns="http://schemas.openxmlformats.org/spreadsheetml/2006/main" count="28" uniqueCount="25">
  <si>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MẪU BIỂU GHI CHÉP KIỂM THỰC BA BƯỚC
3-STEP FOOD CHECK FORM</t>
  </si>
  <si>
    <t>Mẫu số 1: Kiểm tra trước khi chế biến thức ăn (bước 1)/ Form No. 1: Checking before food processing (step 1)</t>
  </si>
  <si>
    <t>Người kiểm tra/ Checked by:</t>
  </si>
  <si>
    <t>Thời gian kiểm tra/ Checking time:</t>
  </si>
  <si>
    <t>Địa điểm kiểm tra/ Checking place: CANTEEN</t>
  </si>
  <si>
    <t>I. Thực phẩm tươi sống, đông lạnh: thịt, cá, rau, củ, quả…/ Fresh and frozen foods: meat, fish, vegetables, roots, fruits …</t>
  </si>
  <si>
    <t>Ngày:</t>
  </si>
  <si>
    <t>2026-08-17 00:00:00</t>
  </si>
  <si>
    <t xml:space="preserve">TT
No.</t>
  </si>
  <si>
    <t xml:space="preserve">Tên thực phẩm
Food name</t>
  </si>
  <si>
    <t xml:space="preserve">Thời gian nhập (ngày, giờ)
Storage time (date, time)</t>
  </si>
  <si>
    <t xml:space="preserve">Khối lượng (kg/lít....)
Volume (kg/ liter ....)</t>
  </si>
  <si>
    <t xml:space="preserve">Nơi cung cấp
Provider</t>
  </si>
  <si>
    <t xml:space="preserve">Chứng từ, hóa đơn
Voucher, invoice</t>
  </si>
  <si>
    <t xml:space="preserve">Giấy ĐK VS thú y
Veterinary hygiene registration certificate</t>
  </si>
  <si>
    <t xml:space="preserve">Giấy kiểm dịch
Quarantine certificate</t>
  </si>
  <si>
    <t xml:space="preserve">Kiểm tra cảm  quan (màu, mùi vị, trạng thái, bảo quản...)
Sensory checking (color, taste, state, preservation ...)</t>
  </si>
  <si>
    <t xml:space="preserve">Xét nghiệm nhanh (nếu có) (vi sinh, hóa lý)
Rapid test (if any) (microbiological, chemical and physical)</t>
  </si>
  <si>
    <t xml:space="preserve">Biện pháp xử lý /Ghi chú
Handling measures/ Notes</t>
  </si>
  <si>
    <t xml:space="preserve">Tên cơ sở
Establishment name</t>
  </si>
  <si>
    <t xml:space="preserve">Địa chỉ, điện thoại
Address, phone</t>
  </si>
  <si>
    <t xml:space="preserve">Tên người giao hàng
Shipper name</t>
  </si>
  <si>
    <t xml:space="preserve">Đạt
Passed</t>
  </si>
  <si>
    <t xml:space="preserve">Không đạt
Failed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</si>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</sst>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1010000]d/m/yyyy;@"/>
    <numFmt numFmtId="165" formatCode="_(* #,##0_);_(* \(#,##0\);_(* &quot;-&quot;??_);_(@_)"/>
    <numFmt numFmtId="166" formatCode="0.0_ "/>
  </numFmts>
  <fonts count="11" x14ac:knownFonts="1">
    <font>
      <color theme="1"/>
      <family val="2"/>
      <scheme val="minor"/>
      <sz val="11"/>
      <name val="Calibri"/>
    </font>
    <font>
      <b/>
      <color theme="1" tint="0"/>
      <sz val="12"/>
      <name val="Arial"/>
    </font>
    <font>
      <color theme="1" tint="0"/>
      <sz val="11"/>
      <name val="Arial"/>
    </font>
    <font>
      <b/>
      <color theme="1" tint="0"/>
      <sz val="14"/>
      <name val="Arial"/>
    </font>
    <font>
      <b/>
      <u/>
      <color theme="1" tint="0"/>
      <sz val="11"/>
      <name val="Arial"/>
    </font>
    <font>
      <b/>
      <color theme="1" tint="0"/>
      <sz val="11"/>
      <name val="Arial"/>
    </font>
    <font>
      <i/>
      <color rgb="FF0000FF"/>
      <sz val="11"/>
      <name val="Arial"/>
    </font>
    <font>
      <color rgb="FF0000FF"/>
      <sz val="11"/>
      <name val="Arial"/>
    </font>
    <font>
      <b/>
      <color rgb="FF0000FF"/>
      <sz val="11"/>
      <name val="Arial"/>
    </font>
    <font>
      <i/>
      <color theme="1" tint="0"/>
      <sz val="11"/>
      <name val="Arial"/>
    </font>
    <font>
      <color theme="1" tint="0"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14" fontId="5" fillId="0" borderId="0" xfId="0" applyNumberFormat="1" applyFont="1" applyAlignment="1">
      <alignment horizontal="left" wrapText="1"/>
    </xf>
    <xf numFmtId="0" fontId="7" fillId="2" borderId="0" xfId="0" applyFont="1" applyFill="1" applyAlignment="1">
      <alignment wrapText="1"/>
    </xf>
    <xf numFmtId="164" fontId="8" fillId="2" borderId="0" xfId="0" applyNumberFormat="1" applyFont="1" applyFill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165" fontId="10" fillId="0" borderId="1" xfId="0" applyNumberFormat="1" applyFont="1" applyBorder="1" applyAlignment="1">
      <alignment horizontal="left" wrapText="1"/>
    </xf>
    <xf numFmtId="164" fontId="10" fillId="0" borderId="2" xfId="0" applyNumberFormat="1" applyFont="1" applyBorder="1" applyAlignment="1">
      <alignment horizontal="center" wrapText="1"/>
    </xf>
    <xf numFmtId="166" fontId="10" fillId="0" borderId="1" xfId="0" applyNumberFormat="1" applyFont="1" applyBorder="1" applyAlignment="1">
      <alignment horizontal="center" wrapText="1"/>
    </xf>
    <xf numFmtId="165" fontId="10" fillId="0" borderId="1" xfId="0" applyNumberFormat="1" applyFont="1" applyBorder="1" applyAlignment="1">
      <alignment wrapText="1"/>
    </xf>
    <xf numFmtId="165" fontId="10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workbookViewId="0"/>
  </sheetViews>
  <sheetFormatPr defaultRowHeight="15" outlineLevelRow="0" outlineLevelCol="0" x14ac:dyDescent="55"/>
  <cols>
    <col min="1" max="1" width="60" customWidth="1"/>
    <col min="2" max="2" width="54" customWidth="1"/>
    <col min="3" max="3" width="28" customWidth="1"/>
    <col min="4" max="4" width="54" customWidth="1"/>
    <col min="5" max="9" width="37" customWidth="1"/>
    <col min="10" max="10" width="45" customWidth="1"/>
    <col min="11" max="11" width="37" customWidth="1"/>
    <col min="12" max="12" width="59" customWidth="1"/>
    <col min="13" max="17" width="60" customWidth="1"/>
  </cols>
  <sheetData>
    <row r="1" ht="120" customHeight="1" spans="1:17" x14ac:dyDescent="0.25">
      <c r="A1" s="1"/>
      <c r="B1" s="2"/>
      <c r="C1" s="2"/>
      <c r="D1" s="3" t="s">
        <v>0</v>
      </c>
      <c r="E1" s="3"/>
      <c r="F1" s="3"/>
      <c r="G1" s="3"/>
      <c r="H1" s="3"/>
      <c r="I1" s="3"/>
      <c r="J1" s="3"/>
      <c r="K1" s="3"/>
      <c r="L1" s="2"/>
      <c r="M1" s="2"/>
      <c r="N1" s="2"/>
      <c r="O1" s="2"/>
      <c r="P1" s="2"/>
      <c r="Q1" s="2"/>
    </row>
    <row r="2" ht="120" customHeight="1" spans="1:17" x14ac:dyDescent="0.25">
      <c r="A2" s="4"/>
      <c r="B2" s="2"/>
      <c r="C2" s="2"/>
      <c r="D2" s="3"/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  <c r="Q2" s="2"/>
    </row>
    <row r="3" ht="120" customHeight="1" spans="1:17" x14ac:dyDescent="0.25">
      <c r="A3" s="4"/>
      <c r="B3" s="2"/>
      <c r="C3" s="2"/>
      <c r="D3" s="3"/>
      <c r="E3" s="3"/>
      <c r="F3" s="3"/>
      <c r="G3" s="3"/>
      <c r="H3" s="3"/>
      <c r="I3" s="3"/>
      <c r="J3" s="3"/>
      <c r="K3" s="3"/>
      <c r="L3" s="2"/>
      <c r="M3" s="2"/>
      <c r="N3" s="2"/>
      <c r="O3" s="2"/>
      <c r="P3" s="2"/>
      <c r="Q3" s="2"/>
    </row>
    <row r="4" spans="1:17" x14ac:dyDescent="0.25">
      <c r="A4" s="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4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5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5">
      <c r="A7" s="4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ht="180" customHeight="1" spans="1:17" x14ac:dyDescent="0.25">
      <c r="A8" s="5" t="s">
        <v>1</v>
      </c>
      <c r="B8" s="6"/>
      <c r="C8" s="6"/>
      <c r="D8" s="7"/>
      <c r="E8" s="7"/>
      <c r="F8" s="7"/>
      <c r="G8" s="8"/>
      <c r="H8" s="9"/>
      <c r="I8" s="9"/>
      <c r="J8" s="9"/>
      <c r="K8" s="9"/>
      <c r="L8" s="9"/>
      <c r="M8" s="2"/>
      <c r="N8" s="2"/>
      <c r="O8" s="2"/>
      <c r="P8" s="2"/>
      <c r="Q8" s="2"/>
    </row>
    <row r="9" ht="60" customHeight="1" spans="1:17" x14ac:dyDescent="0.25">
      <c r="A9" s="7" t="s">
        <v>2</v>
      </c>
      <c r="B9" s="6"/>
      <c r="C9" s="6"/>
      <c r="D9" s="7"/>
      <c r="E9" s="7"/>
      <c r="F9" s="7"/>
      <c r="G9" s="7"/>
      <c r="H9" s="2"/>
      <c r="I9" s="2"/>
      <c r="J9" s="2"/>
      <c r="K9" s="2"/>
      <c r="L9" s="2"/>
      <c r="M9" s="2"/>
      <c r="N9" s="2"/>
      <c r="O9" s="2"/>
      <c r="P9" s="2"/>
      <c r="Q9" s="2"/>
    </row>
    <row r="10" ht="75" customHeight="1" spans="1:17" x14ac:dyDescent="0.25">
      <c r="A10" s="7" t="s">
        <v>3</v>
      </c>
      <c r="B10" s="6"/>
      <c r="C10" s="6"/>
      <c r="D10" s="10">
        <f>+P13</f>
      </c>
      <c r="E10" s="7"/>
      <c r="F10" s="7"/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ht="90" customHeight="1" spans="1:17" x14ac:dyDescent="0.25">
      <c r="A11" s="7" t="s">
        <v>4</v>
      </c>
      <c r="B11" s="6"/>
      <c r="C11" s="6"/>
      <c r="D11" s="7"/>
      <c r="E11" s="7"/>
      <c r="F11" s="7"/>
      <c r="G11" s="7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25">
      <c r="A12" s="7"/>
      <c r="B12" s="6"/>
      <c r="C12" s="6"/>
      <c r="D12" s="7"/>
      <c r="E12" s="7"/>
      <c r="F12" s="7"/>
      <c r="G12" s="7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ht="180" customHeight="1" spans="1:17" x14ac:dyDescent="0.25">
      <c r="A13" s="6" t="s">
        <v>5</v>
      </c>
      <c r="B13" s="7"/>
      <c r="C13" s="7"/>
      <c r="D13" s="7"/>
      <c r="E13" s="7"/>
      <c r="F13" s="7"/>
      <c r="G13" s="7"/>
      <c r="H13" s="2"/>
      <c r="I13" s="2"/>
      <c r="J13" s="2"/>
      <c r="K13" s="2"/>
      <c r="L13" s="2"/>
      <c r="M13" s="2"/>
      <c r="N13" s="2"/>
      <c r="O13" s="11" t="s">
        <v>6</v>
      </c>
      <c r="P13" s="12" t="s">
        <v>7</v>
      </c>
      <c r="Q13" s="2"/>
    </row>
    <row r="14" spans="1:17" x14ac:dyDescent="0.25">
      <c r="A14" s="6"/>
      <c r="B14" s="7"/>
      <c r="C14" s="7"/>
      <c r="D14" s="7"/>
      <c r="E14" s="7"/>
      <c r="F14" s="7"/>
      <c r="G14" s="7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ht="180" customHeight="1" spans="1:17" x14ac:dyDescent="0.25">
      <c r="A15" s="13" t="s">
        <v>8</v>
      </c>
      <c r="B15" s="13" t="s">
        <v>9</v>
      </c>
      <c r="C15" s="14" t="s">
        <v>10</v>
      </c>
      <c r="D15" s="13" t="s">
        <v>11</v>
      </c>
      <c r="E15" s="13" t="s">
        <v>12</v>
      </c>
      <c r="F15" s="13"/>
      <c r="G15" s="13"/>
      <c r="H15" s="13" t="s">
        <v>13</v>
      </c>
      <c r="I15" s="13"/>
      <c r="J15" s="13" t="s">
        <v>14</v>
      </c>
      <c r="K15" s="13" t="s">
        <v>15</v>
      </c>
      <c r="L15" s="13" t="s">
        <v>16</v>
      </c>
      <c r="M15" s="13"/>
      <c r="N15" s="13" t="s">
        <v>17</v>
      </c>
      <c r="O15" s="13"/>
      <c r="P15" s="13" t="s">
        <v>18</v>
      </c>
      <c r="Q15" s="13"/>
    </row>
    <row r="16" ht="120" customHeight="1" spans="1:17" x14ac:dyDescent="0.25">
      <c r="A16" s="13"/>
      <c r="B16" s="13"/>
      <c r="C16" s="14"/>
      <c r="D16" s="13"/>
      <c r="E16" s="13" t="s">
        <v>19</v>
      </c>
      <c r="F16" s="14" t="s">
        <v>20</v>
      </c>
      <c r="G16" s="13" t="s">
        <v>21</v>
      </c>
      <c r="H16" s="13"/>
      <c r="I16" s="13"/>
      <c r="J16" s="13"/>
      <c r="K16" s="13"/>
      <c r="L16" s="15" t="s">
        <v>22</v>
      </c>
      <c r="M16" s="15" t="s">
        <v>23</v>
      </c>
      <c r="N16" s="15" t="s">
        <v>22</v>
      </c>
      <c r="O16" s="15" t="s">
        <v>23</v>
      </c>
      <c r="P16" s="13"/>
      <c r="Q16" s="13"/>
    </row>
    <row r="17" spans="1:17" x14ac:dyDescent="0.25">
      <c r="A17" s="15">
        <v>1</v>
      </c>
      <c r="B17" s="15">
        <f>A17+1</f>
      </c>
      <c r="C17" s="16">
        <f>B17+1</f>
      </c>
      <c r="D17" s="15">
        <f>C17+1</f>
      </c>
      <c r="E17" s="15">
        <f>D17+1</f>
      </c>
      <c r="F17" s="16">
        <f>E17+1</f>
      </c>
      <c r="G17" s="15">
        <f>F17+1</f>
      </c>
      <c r="H17" s="15">
        <f>G17+1</f>
      </c>
      <c r="I17" s="15"/>
      <c r="J17" s="15">
        <f>H17+1</f>
      </c>
      <c r="K17" s="15">
        <f>J17+1</f>
      </c>
      <c r="L17" s="15">
        <f>K17+1</f>
      </c>
      <c r="M17" s="15">
        <f>L17+1</f>
      </c>
      <c r="N17" s="15">
        <f>M17+1</f>
      </c>
      <c r="O17" s="15">
        <f>N17+1</f>
      </c>
      <c r="P17" s="15">
        <f>O17+1</f>
      </c>
      <c r="Q17" s="15"/>
    </row>
    <row r="18" ht="180" customHeight="1" spans="1:17" x14ac:dyDescent="0.25">
      <c r="A18" s="17">
        <v>1</v>
      </c>
      <c r="B18" s="18">
        <f>IFERROR(VLOOKUP("ODSV"&amp;"_"&amp;$P$13&amp;A18,#REF!,6,0),"")</f>
      </c>
      <c r="C18" s="19">
        <f>IF(B18="","",$P$13)</f>
      </c>
      <c r="D18" s="20">
        <f>IFERROR(VLOOKUP("ODSV"&amp;"_"&amp;$P$13&amp;A18,#REF!,8,0),"")</f>
      </c>
      <c r="E18" s="21">
        <f>IFERROR(VLOOKUP(B18,#REF!,3,0),"")</f>
      </c>
      <c r="F18" s="21">
        <f>IFERROR(VLOOKUP(B18,#REF!,4,0),"")</f>
      </c>
      <c r="G18" s="22">
        <f>IFERROR(VLOOKUP(B18,#REF!,5,0),"")</f>
      </c>
      <c r="H18" s="22">
        <f>IFERROR(VLOOKUP(B18,#REF!,6,0),"")</f>
      </c>
      <c r="I18" s="22"/>
      <c r="J18" s="21">
        <f>IFERROR(VLOOKUP(B18,#REF!,6,0),"")</f>
      </c>
      <c r="K18" s="22">
        <f>IFERROR(VLOOKUP(B18,#REF!,7,0),"")</f>
      </c>
      <c r="L18" s="22" t="s">
        <v>24</v>
      </c>
      <c r="M18" s="21">
        <f>IFERROR(IF(VLOOKUP("ODSV"&amp;"_"&amp;$P$13&amp;A18,#REF!,16,0)=0,"",VLOOKUP("ODSV"&amp;"_"&amp;$P$13&amp;A18,#REF!,16,0)),"")</f>
      </c>
      <c r="N18" s="22" t="s">
        <v>24</v>
      </c>
      <c r="O18" s="21">
        <f>IFERROR(IF(VLOOKUP("ODSV"&amp;"_"&amp;$P$13&amp;A18,#REF!,18,0)=0,"",VLOOKUP("ODSV"&amp;"_"&amp;$P$13&amp;A18,#REF!,18,0)),"")</f>
      </c>
      <c r="P18" s="22">
        <f>IFERROR(IF(VLOOKUP("ODSV"&amp;"_"&amp;$P$13&amp;A18,#REF!,19,0)=0,"",VLOOKUP("ODSV"&amp;"_"&amp;$P$13&amp;A18,#REF!,19,0)),"")</f>
      </c>
      <c r="Q18" s="22"/>
    </row>
  </sheetData>
  <mergeCells count="15">
    <mergeCell ref="D1:K3"/>
    <mergeCell ref="E15:G15"/>
    <mergeCell ref="H15:I16"/>
    <mergeCell ref="L15:M15"/>
    <mergeCell ref="N15:O15"/>
    <mergeCell ref="P15:Q16"/>
    <mergeCell ref="A15:A16"/>
    <mergeCell ref="B15:B16"/>
    <mergeCell ref="C15:C16"/>
    <mergeCell ref="D15:D16"/>
    <mergeCell ref="J15:J16"/>
    <mergeCell ref="K15:K16"/>
    <mergeCell ref="P17:Q17"/>
    <mergeCell ref="H18:I18"/>
    <mergeCell ref="P18:Q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dc:title/>
  <dc:subject/>
  <dc:description/>
  <cp:keywords/>
  <cp:category/>
  <cp:lastModifiedBy>Unknown</cp:lastModifiedBy>
  <dcterms:created xsi:type="dcterms:W3CDTF">2026-08-31T09:57:51Z</dcterms:created>
  <dcterms:modified xsi:type="dcterms:W3CDTF">2026-08-31T09:57:51Z</dcterms:modified>
</cp:coreProperties>
</file>